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P\Desktop\"/>
    </mc:Choice>
  </mc:AlternateContent>
  <xr:revisionPtr revIDLastSave="0" documentId="13_ncr:1_{2AB13CEC-64B7-41C3-A434-80EF28DC7B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keta" sheetId="2" r:id="rId1"/>
  </sheets>
  <definedNames>
    <definedName name="_xlchart.v2.0" hidden="1">anketa!$T$2:$T$6</definedName>
    <definedName name="_xlchart.v2.1" hidden="1">anketa!$U$2:$U$6</definedName>
    <definedName name="ExternalData_1" localSheetId="0" hidden="1">anketa!$A$1:$R$14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" l="1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I46" i="2" s="1"/>
  <c r="W2" i="2"/>
  <c r="B15" i="2"/>
  <c r="R15" i="2"/>
  <c r="Q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P15" i="2"/>
  <c r="B18" i="2"/>
  <c r="K16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R17" i="2"/>
  <c r="B17" i="2"/>
  <c r="B16" i="2"/>
  <c r="J17" i="2"/>
  <c r="J16" i="2"/>
  <c r="L17" i="2"/>
  <c r="L16" i="2"/>
  <c r="K17" i="2"/>
  <c r="H16" i="2"/>
  <c r="H17" i="2"/>
  <c r="D17" i="2"/>
  <c r="D16" i="2"/>
  <c r="Q16" i="2"/>
  <c r="Q17" i="2"/>
  <c r="R16" i="2"/>
  <c r="O16" i="2"/>
  <c r="O17" i="2"/>
  <c r="M16" i="2"/>
  <c r="M17" i="2"/>
  <c r="G16" i="2"/>
  <c r="G17" i="2"/>
  <c r="E17" i="2"/>
  <c r="E16" i="2"/>
  <c r="I17" i="2"/>
  <c r="I16" i="2"/>
  <c r="F17" i="2"/>
  <c r="F16" i="2"/>
  <c r="N17" i="2"/>
  <c r="N16" i="2"/>
  <c r="C17" i="2"/>
  <c r="C16" i="2"/>
  <c r="P17" i="2"/>
  <c r="P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nketa" description="Connection to the 'anketa' query in the workbook." type="5" refreshedVersion="8" background="1" saveData="1">
    <dbPr connection="Provider=Microsoft.Mashup.OleDb.1;Data Source=$Workbook$;Location=anketa;Extended Properties=&quot;&quot;" command="SELECT * FROM [anketa]"/>
  </connection>
</connections>
</file>

<file path=xl/sharedStrings.xml><?xml version="1.0" encoding="utf-8"?>
<sst xmlns="http://schemas.openxmlformats.org/spreadsheetml/2006/main" count="107" uniqueCount="56">
  <si>
    <t>5SUgl9obXKeeXpMXTm3OrVKoomA2</t>
  </si>
  <si>
    <t>5nsn9Og5Phd9OJv0bSJwLU8oggE3</t>
  </si>
  <si>
    <t>98XwtpoQZSVBOwKZIsryo3IncEI3</t>
  </si>
  <si>
    <t>KPk5idEB1whr3ppdnfC9qEHw1i12</t>
  </si>
  <si>
    <t>OVMETb3Sy8XeUePODUzBiz3irts1</t>
  </si>
  <si>
    <t>RW9VVohP1fbF3naywJt8g7HXkXE3</t>
  </si>
  <si>
    <t>Tj3gAGeDe3NdlBBxa60OeDcU7k42</t>
  </si>
  <si>
    <t>Tr48bcmOP8X7qFdMLNg6GORn5ZB3</t>
  </si>
  <si>
    <t>dCa2aVJR7fewFLL0LkpbSd4QXya2</t>
  </si>
  <si>
    <t>elxJt0LrvoYYPuX3L3oS2tf8Qhk1</t>
  </si>
  <si>
    <t>lzDeCthcbhT22c1uWwj35RYQ1Yq2</t>
  </si>
  <si>
    <t>q8CE09mA7SQU5dKrURrnc5ZPTlW2</t>
  </si>
  <si>
    <t>Document ID</t>
  </si>
  <si>
    <t>strana_1</t>
  </si>
  <si>
    <t>strana_10</t>
  </si>
  <si>
    <t>strana_11</t>
  </si>
  <si>
    <t>strana_12</t>
  </si>
  <si>
    <t>strana_13</t>
  </si>
  <si>
    <t>strana_15</t>
  </si>
  <si>
    <t>strana_14</t>
  </si>
  <si>
    <t>strana_16</t>
  </si>
  <si>
    <t>strana_2</t>
  </si>
  <si>
    <t>strana_3</t>
  </si>
  <si>
    <t>strana_4</t>
  </si>
  <si>
    <t>strana_5</t>
  </si>
  <si>
    <t>strana_6</t>
  </si>
  <si>
    <t>strana_7</t>
  </si>
  <si>
    <t>strana_8</t>
  </si>
  <si>
    <t>strana_9</t>
  </si>
  <si>
    <t>strana_17</t>
  </si>
  <si>
    <t>Prosecna ocena po stranici</t>
  </si>
  <si>
    <t>Minimalna ocena po stranici</t>
  </si>
  <si>
    <t>Maksimalna ocena po stranici</t>
  </si>
  <si>
    <t>Medijana ocena po stranici</t>
  </si>
  <si>
    <t>Stranice</t>
  </si>
  <si>
    <t>Prosecna ocena</t>
  </si>
  <si>
    <t>v</t>
  </si>
  <si>
    <t>Varijansa</t>
  </si>
  <si>
    <t>Var za st 1</t>
  </si>
  <si>
    <t>Var za st 2</t>
  </si>
  <si>
    <t>Var za st 3</t>
  </si>
  <si>
    <t>Var za st 4</t>
  </si>
  <si>
    <t>Var za st 5</t>
  </si>
  <si>
    <t>Var za st 6</t>
  </si>
  <si>
    <t>Var za st 7</t>
  </si>
  <si>
    <t>Var za st 8</t>
  </si>
  <si>
    <t>Var za st 9</t>
  </si>
  <si>
    <t>Var za st 10</t>
  </si>
  <si>
    <t>Var za st 11</t>
  </si>
  <si>
    <t>Var za st 12</t>
  </si>
  <si>
    <t>Var za st 13</t>
  </si>
  <si>
    <t>Var za st 14</t>
  </si>
  <si>
    <t>Var za st 15</t>
  </si>
  <si>
    <t>Var za st 16</t>
  </si>
  <si>
    <t>Var za st 17</t>
  </si>
  <si>
    <t>Varijansa po stranici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</si>
</sst>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NumberFormat="1" applyFill="1"/>
    <xf numFmtId="0" fontId="0" fillId="4" borderId="0" xfId="0" applyFill="1"/>
    <xf numFmtId="0" fontId="0" fillId="4" borderId="1" xfId="0" applyFill="1" applyBorder="1"/>
    <xf numFmtId="0" fontId="0" fillId="4" borderId="1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anketa!$A$15</c:f>
              <c:strCache>
                <c:ptCount val="1"/>
                <c:pt idx="0">
                  <c:v>Prosecna ocena po stranici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anketa!$B$15:$R$15</c:f>
              <c:numCache>
                <c:formatCode>General</c:formatCode>
                <c:ptCount val="17"/>
                <c:pt idx="0">
                  <c:v>1.8</c:v>
                </c:pt>
                <c:pt idx="1">
                  <c:v>2.2999999999999998</c:v>
                </c:pt>
                <c:pt idx="2">
                  <c:v>2.8</c:v>
                </c:pt>
                <c:pt idx="3">
                  <c:v>3.3</c:v>
                </c:pt>
                <c:pt idx="4">
                  <c:v>4</c:v>
                </c:pt>
                <c:pt idx="5">
                  <c:v>3.8</c:v>
                </c:pt>
                <c:pt idx="6">
                  <c:v>3.3</c:v>
                </c:pt>
                <c:pt idx="7">
                  <c:v>4</c:v>
                </c:pt>
                <c:pt idx="8">
                  <c:v>3.6</c:v>
                </c:pt>
                <c:pt idx="9">
                  <c:v>4.8</c:v>
                </c:pt>
                <c:pt idx="10">
                  <c:v>5.8</c:v>
                </c:pt>
                <c:pt idx="11">
                  <c:v>6.2</c:v>
                </c:pt>
                <c:pt idx="12">
                  <c:v>9.5</c:v>
                </c:pt>
                <c:pt idx="13">
                  <c:v>9.9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2-44A4-8BF7-34630447D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67456"/>
        <c:axId val="42069376"/>
      </c:barChart>
      <c:catAx>
        <c:axId val="420674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9376"/>
        <c:crosses val="autoZero"/>
        <c:auto val="1"/>
        <c:lblAlgn val="ctr"/>
        <c:lblOffset val="100"/>
        <c:noMultiLvlLbl val="0"/>
      </c:catAx>
      <c:valAx>
        <c:axId val="42069376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Distribucija ocena za svaku stranicu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anketa!$A$16</c:f>
              <c:strCache>
                <c:ptCount val="1"/>
                <c:pt idx="0">
                  <c:v>Minimalna ocena po stranici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anketa!$B$16:$R$16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8-4B33-A57D-D703909037C4}"/>
            </c:ext>
          </c:extLst>
        </c:ser>
        <c:ser>
          <c:idx val="1"/>
          <c:order val="1"/>
          <c:tx>
            <c:strRef>
              <c:f>anketa!$A$17</c:f>
              <c:strCache>
                <c:ptCount val="1"/>
                <c:pt idx="0">
                  <c:v>Maksimalna ocena po stranici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anketa!$B$17:$R$17</c:f>
              <c:numCache>
                <c:formatCode>General</c:formatCode>
                <c:ptCount val="17"/>
                <c:pt idx="0">
                  <c:v>3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8-4B33-A57D-D703909037C4}"/>
            </c:ext>
          </c:extLst>
        </c:ser>
        <c:ser>
          <c:idx val="2"/>
          <c:order val="2"/>
          <c:tx>
            <c:strRef>
              <c:f>anketa!$A$18</c:f>
              <c:strCache>
                <c:ptCount val="1"/>
                <c:pt idx="0">
                  <c:v>Medijana ocena po stranici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anketa!$B$18:$R$18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08-4B33-A57D-D70390903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73151"/>
        <c:axId val="149872671"/>
      </c:barChart>
      <c:catAx>
        <c:axId val="14987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2671"/>
        <c:crosses val="autoZero"/>
        <c:auto val="1"/>
        <c:lblAlgn val="ctr"/>
        <c:lblOffset val="100"/>
        <c:noMultiLvlLbl val="0"/>
      </c:catAx>
      <c:valAx>
        <c:axId val="14987267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5 najbolje ocenjenih stranica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/>
            <a:t>Top 5 najbolje ocenjenih stranica</a:t>
          </a:r>
        </a:p>
      </cx:txPr>
    </cx:title>
    <cx:plotArea>
      <cx:plotAreaRegion>
        <cx:series layoutId="funnel" uniqueId="{707FDAE4-C2EC-49D3-90FF-1DB17FF0074A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28574</xdr:rowOff>
    </xdr:from>
    <xdr:to>
      <xdr:col>8</xdr:col>
      <xdr:colOff>409576</xdr:colOff>
      <xdr:row>41</xdr:row>
      <xdr:rowOff>171449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442911</xdr:colOff>
      <xdr:row>21</xdr:row>
      <xdr:rowOff>39780</xdr:rowOff>
    </xdr:from>
    <xdr:to>
      <xdr:col>17</xdr:col>
      <xdr:colOff>542925</xdr:colOff>
      <xdr:row>42</xdr:row>
      <xdr:rowOff>1681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427C5D-82DC-ACA7-F8CB-149C7A702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572697</xdr:colOff>
      <xdr:row>21</xdr:row>
      <xdr:rowOff>35884</xdr:rowOff>
    </xdr:from>
    <xdr:to>
      <xdr:col>24</xdr:col>
      <xdr:colOff>670112</xdr:colOff>
      <xdr:row>42</xdr:row>
      <xdr:rowOff>11206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FF21AA59-8AB2-AB44-BDF4-2F40788550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97226" y="4036384"/>
              <a:ext cx="5711562" cy="39758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0">
    <queryTableFields count="18">
      <queryTableField id="1" name="Column1" tableColumnId="1"/>
      <queryTableField id="2" name="Column2" tableColumnId="2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8" name="Column18" tableColumnId="18"/>
    </queryTableFields>
    <queryTableDeletedFields count="7">
      <deletedField name="Column3"/>
      <deletedField name="Column4"/>
      <deletedField name="Column5"/>
      <deletedField name="Column6"/>
      <deletedField name="Column7"/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keta" displayName="anketa" ref="A1:R14" tableType="queryTable" totalsRowShown="0">
  <autoFilter ref="A1:R14" xr:uid="{00000000-0009-0000-0100-000001000000}"/>
  <tableColumns count="18">
    <tableColumn id="1" xr3:uid="{00000000-0010-0000-0000-000001000000}" uniqueName="1" name="Document ID" queryTableFieldId="1" dataDxfId="1" totalsRowDxfId="0"/>
    <tableColumn id="2" xr3:uid="{00000000-0010-0000-0000-000002000000}" uniqueName="2" name="strana_1" queryTableFieldId="2"/>
    <tableColumn id="10" xr3:uid="{00000000-0010-0000-0000-00000A000000}" uniqueName="10" name="strana_2" queryTableFieldId="10"/>
    <tableColumn id="11" xr3:uid="{00000000-0010-0000-0000-00000B000000}" uniqueName="11" name="strana_3" queryTableFieldId="11"/>
    <tableColumn id="12" xr3:uid="{00000000-0010-0000-0000-00000C000000}" uniqueName="12" name="strana_4" queryTableFieldId="12"/>
    <tableColumn id="13" xr3:uid="{00000000-0010-0000-0000-00000D000000}" uniqueName="13" name="strana_5" queryTableFieldId="13"/>
    <tableColumn id="14" xr3:uid="{00000000-0010-0000-0000-00000E000000}" uniqueName="14" name="strana_6" queryTableFieldId="14"/>
    <tableColumn id="15" xr3:uid="{00000000-0010-0000-0000-00000F000000}" uniqueName="15" name="strana_7" queryTableFieldId="15"/>
    <tableColumn id="16" xr3:uid="{00000000-0010-0000-0000-000010000000}" uniqueName="16" name="strana_8" queryTableFieldId="16"/>
    <tableColumn id="17" xr3:uid="{00000000-0010-0000-0000-000011000000}" uniqueName="17" name="strana_9" queryTableFieldId="17"/>
    <tableColumn id="3" xr3:uid="{00000000-0010-0000-0000-000003000000}" uniqueName="3" name="strana_10" queryTableFieldId="3"/>
    <tableColumn id="4" xr3:uid="{00000000-0010-0000-0000-000004000000}" uniqueName="4" name="strana_11" queryTableFieldId="4"/>
    <tableColumn id="5" xr3:uid="{00000000-0010-0000-0000-000005000000}" uniqueName="5" name="strana_12" queryTableFieldId="5"/>
    <tableColumn id="6" xr3:uid="{00000000-0010-0000-0000-000006000000}" uniqueName="6" name="strana_13" queryTableFieldId="6"/>
    <tableColumn id="7" xr3:uid="{00000000-0010-0000-0000-000007000000}" uniqueName="7" name="strana_14" queryTableFieldId="7"/>
    <tableColumn id="8" xr3:uid="{00000000-0010-0000-0000-000008000000}" uniqueName="8" name="strana_15" queryTableFieldId="8"/>
    <tableColumn id="9" xr3:uid="{00000000-0010-0000-0000-000009000000}" uniqueName="9" name="strana_16" queryTableFieldId="9"/>
    <tableColumn id="18" xr3:uid="{00000000-0010-0000-0000-000012000000}" uniqueName="18" name="strana_17" queryTableFieldId="1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800BA-2777-4060-8F25-71C8065D2B31}" name="Table2" displayName="Table2" ref="T1:U18" totalsRowShown="0">
  <autoFilter ref="T1:U18" xr:uid="{C6B800BA-2777-4060-8F25-71C8065D2B31}"/>
  <sortState xmlns:xlrd2="http://schemas.microsoft.com/office/spreadsheetml/2017/richdata2" ref="T2:U18">
    <sortCondition descending="1" ref="U1:U18"/>
  </sortState>
  <tableColumns count="2">
    <tableColumn id="1" xr3:uid="{E87EA392-EDA2-4D7A-867D-EC987F72FCC3}" name="Stranice"/>
    <tableColumn id="2" xr3:uid="{92C1316C-A382-4201-9F2D-5FE0508E67FC}" name="Prosecna ocen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576"/>
  <sheetViews>
    <sheetView tabSelected="1" topLeftCell="A10" zoomScale="85" zoomScaleNormal="85" workbookViewId="0">
      <selection activeCell="A19" sqref="A19:R20"/>
    </sheetView>
  </sheetViews>
  <sheetFormatPr defaultRowHeight="15" x14ac:dyDescent="0.25"/>
  <cols>
    <col min="1" max="1" width="29.85546875" customWidth="1"/>
    <col min="2" max="18" width="11.85546875" customWidth="1"/>
    <col min="19" max="20" width="11.140625" bestFit="1" customWidth="1"/>
    <col min="21" max="21" width="16.85546875" customWidth="1"/>
    <col min="22" max="25" width="11.140625" bestFit="1" customWidth="1"/>
    <col min="26" max="28" width="11" customWidth="1"/>
  </cols>
  <sheetData>
    <row r="1" spans="1:23" x14ac:dyDescent="0.25">
      <c r="A1" t="s">
        <v>12</v>
      </c>
      <c r="B1" t="s">
        <v>13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14</v>
      </c>
      <c r="L1" t="s">
        <v>15</v>
      </c>
      <c r="M1" t="s">
        <v>16</v>
      </c>
      <c r="N1" t="s">
        <v>17</v>
      </c>
      <c r="O1" t="s">
        <v>19</v>
      </c>
      <c r="P1" t="s">
        <v>18</v>
      </c>
      <c r="Q1" t="s">
        <v>20</v>
      </c>
      <c r="R1" t="s">
        <v>29</v>
      </c>
      <c r="T1" t="s">
        <v>34</v>
      </c>
      <c r="U1" t="s">
        <v>35</v>
      </c>
      <c r="W1" t="s">
        <v>37</v>
      </c>
    </row>
    <row r="2" spans="1:23" x14ac:dyDescent="0.25">
      <c r="A2" t="s">
        <v>0</v>
      </c>
      <c r="B2">
        <v>2</v>
      </c>
      <c r="C2">
        <v>2</v>
      </c>
      <c r="D2">
        <v>3</v>
      </c>
      <c r="E2">
        <v>3</v>
      </c>
      <c r="F2">
        <v>3</v>
      </c>
      <c r="G2">
        <v>3</v>
      </c>
      <c r="H2">
        <v>3</v>
      </c>
      <c r="I2">
        <v>5</v>
      </c>
      <c r="J2">
        <v>4</v>
      </c>
      <c r="K2">
        <v>4</v>
      </c>
      <c r="L2">
        <v>6</v>
      </c>
      <c r="M2">
        <v>6</v>
      </c>
      <c r="N2">
        <v>10</v>
      </c>
      <c r="O2">
        <v>10</v>
      </c>
      <c r="P2">
        <v>9</v>
      </c>
      <c r="Q2">
        <v>10</v>
      </c>
      <c r="R2">
        <v>8</v>
      </c>
      <c r="T2" t="s">
        <v>19</v>
      </c>
      <c r="U2">
        <v>9.9</v>
      </c>
      <c r="W2">
        <f>_xlfn.VAR.S(B2:R14)</f>
        <v>8.8509610740848075</v>
      </c>
    </row>
    <row r="3" spans="1:23" x14ac:dyDescent="0.25">
      <c r="A3" t="s">
        <v>1</v>
      </c>
      <c r="B3">
        <v>2</v>
      </c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4</v>
      </c>
      <c r="J3">
        <v>4</v>
      </c>
      <c r="K3">
        <v>4</v>
      </c>
      <c r="L3">
        <v>5</v>
      </c>
      <c r="M3">
        <v>6</v>
      </c>
      <c r="N3">
        <v>10</v>
      </c>
      <c r="O3">
        <v>10</v>
      </c>
      <c r="P3">
        <v>8</v>
      </c>
      <c r="Q3">
        <v>10</v>
      </c>
      <c r="R3">
        <v>5</v>
      </c>
      <c r="T3" t="s">
        <v>17</v>
      </c>
      <c r="U3">
        <v>9.5</v>
      </c>
    </row>
    <row r="4" spans="1:23" x14ac:dyDescent="0.25">
      <c r="A4" t="s">
        <v>2</v>
      </c>
      <c r="B4">
        <v>3</v>
      </c>
      <c r="C4">
        <v>9</v>
      </c>
      <c r="D4">
        <v>6</v>
      </c>
      <c r="E4">
        <v>3</v>
      </c>
      <c r="F4">
        <v>8</v>
      </c>
      <c r="G4">
        <v>10</v>
      </c>
      <c r="H4">
        <v>2</v>
      </c>
      <c r="I4">
        <v>0</v>
      </c>
      <c r="J4">
        <v>4</v>
      </c>
      <c r="K4">
        <v>6</v>
      </c>
      <c r="L4">
        <v>6</v>
      </c>
      <c r="M4">
        <v>3</v>
      </c>
      <c r="N4">
        <v>7</v>
      </c>
      <c r="O4">
        <v>9</v>
      </c>
      <c r="P4">
        <v>10</v>
      </c>
      <c r="Q4">
        <v>5</v>
      </c>
      <c r="R4">
        <v>3</v>
      </c>
      <c r="T4" t="s">
        <v>18</v>
      </c>
      <c r="U4">
        <v>8.8000000000000007</v>
      </c>
    </row>
    <row r="5" spans="1:23" x14ac:dyDescent="0.25">
      <c r="A5" t="s">
        <v>3</v>
      </c>
      <c r="B5">
        <v>1</v>
      </c>
      <c r="C5">
        <v>2</v>
      </c>
      <c r="D5">
        <v>3</v>
      </c>
      <c r="E5">
        <v>4</v>
      </c>
      <c r="F5">
        <v>4</v>
      </c>
      <c r="G5">
        <v>5</v>
      </c>
      <c r="H5">
        <v>3</v>
      </c>
      <c r="I5">
        <v>4</v>
      </c>
      <c r="J5">
        <v>1</v>
      </c>
      <c r="K5">
        <v>5</v>
      </c>
      <c r="L5">
        <v>6</v>
      </c>
      <c r="M5">
        <v>7</v>
      </c>
      <c r="N5">
        <v>10</v>
      </c>
      <c r="O5">
        <v>10</v>
      </c>
      <c r="P5">
        <v>8</v>
      </c>
      <c r="Q5">
        <v>10</v>
      </c>
      <c r="R5">
        <v>4</v>
      </c>
      <c r="T5" t="s">
        <v>20</v>
      </c>
      <c r="U5">
        <v>8.8000000000000007</v>
      </c>
    </row>
    <row r="6" spans="1:23" x14ac:dyDescent="0.25">
      <c r="A6" t="s">
        <v>4</v>
      </c>
      <c r="B6">
        <v>0</v>
      </c>
      <c r="C6">
        <v>2</v>
      </c>
      <c r="D6">
        <v>3</v>
      </c>
      <c r="E6">
        <v>3</v>
      </c>
      <c r="F6">
        <v>4</v>
      </c>
      <c r="G6">
        <v>4</v>
      </c>
      <c r="H6">
        <v>4</v>
      </c>
      <c r="I6">
        <v>4</v>
      </c>
      <c r="J6">
        <v>2</v>
      </c>
      <c r="K6">
        <v>5</v>
      </c>
      <c r="L6">
        <v>6</v>
      </c>
      <c r="M6">
        <v>7</v>
      </c>
      <c r="N6">
        <v>10</v>
      </c>
      <c r="O6">
        <v>10</v>
      </c>
      <c r="P6">
        <v>10</v>
      </c>
      <c r="Q6">
        <v>10</v>
      </c>
      <c r="R6">
        <v>10</v>
      </c>
      <c r="T6" t="s">
        <v>13</v>
      </c>
      <c r="U6">
        <v>7.7</v>
      </c>
    </row>
    <row r="7" spans="1:23" x14ac:dyDescent="0.25">
      <c r="A7" t="s">
        <v>5</v>
      </c>
      <c r="B7">
        <v>1</v>
      </c>
      <c r="C7">
        <v>1</v>
      </c>
      <c r="D7">
        <v>2</v>
      </c>
      <c r="E7">
        <v>3</v>
      </c>
      <c r="F7">
        <v>3</v>
      </c>
      <c r="G7">
        <v>3</v>
      </c>
      <c r="H7">
        <v>3</v>
      </c>
      <c r="I7">
        <v>4</v>
      </c>
      <c r="J7">
        <v>5</v>
      </c>
      <c r="K7">
        <v>5</v>
      </c>
      <c r="L7">
        <v>6</v>
      </c>
      <c r="M7">
        <v>7</v>
      </c>
      <c r="N7">
        <v>10</v>
      </c>
      <c r="O7">
        <v>10</v>
      </c>
      <c r="P7">
        <v>8</v>
      </c>
      <c r="Q7">
        <v>10</v>
      </c>
      <c r="R7">
        <v>6</v>
      </c>
      <c r="T7" t="s">
        <v>29</v>
      </c>
      <c r="U7">
        <v>6.9</v>
      </c>
    </row>
    <row r="8" spans="1:23" x14ac:dyDescent="0.25">
      <c r="A8" t="s">
        <v>6</v>
      </c>
      <c r="B8">
        <v>2</v>
      </c>
      <c r="C8">
        <v>2</v>
      </c>
      <c r="D8">
        <v>3</v>
      </c>
      <c r="E8">
        <v>3</v>
      </c>
      <c r="F8">
        <v>4</v>
      </c>
      <c r="G8">
        <v>3</v>
      </c>
      <c r="H8">
        <v>2</v>
      </c>
      <c r="I8">
        <v>4</v>
      </c>
      <c r="J8">
        <v>3</v>
      </c>
      <c r="K8">
        <v>4</v>
      </c>
      <c r="L8">
        <v>5</v>
      </c>
      <c r="M8">
        <v>6</v>
      </c>
      <c r="N8">
        <v>10</v>
      </c>
      <c r="O8">
        <v>10</v>
      </c>
      <c r="P8">
        <v>10</v>
      </c>
      <c r="Q8">
        <v>10</v>
      </c>
      <c r="R8">
        <v>10</v>
      </c>
      <c r="T8" t="s">
        <v>16</v>
      </c>
      <c r="U8">
        <v>6.2</v>
      </c>
    </row>
    <row r="9" spans="1:23" x14ac:dyDescent="0.25">
      <c r="A9" t="s">
        <v>7</v>
      </c>
      <c r="B9">
        <v>2</v>
      </c>
      <c r="C9">
        <v>2</v>
      </c>
      <c r="D9">
        <v>2</v>
      </c>
      <c r="E9">
        <v>3</v>
      </c>
      <c r="F9">
        <v>4</v>
      </c>
      <c r="G9">
        <v>3</v>
      </c>
      <c r="H9">
        <v>4</v>
      </c>
      <c r="I9">
        <v>5</v>
      </c>
      <c r="J9">
        <v>5</v>
      </c>
      <c r="K9">
        <v>5</v>
      </c>
      <c r="L9">
        <v>6</v>
      </c>
      <c r="M9">
        <v>7</v>
      </c>
      <c r="N9">
        <v>10</v>
      </c>
      <c r="O9">
        <v>10</v>
      </c>
      <c r="P9">
        <v>8</v>
      </c>
      <c r="Q9">
        <v>10</v>
      </c>
      <c r="R9">
        <v>8</v>
      </c>
      <c r="T9" t="s">
        <v>15</v>
      </c>
      <c r="U9">
        <v>5.8</v>
      </c>
    </row>
    <row r="10" spans="1:23" x14ac:dyDescent="0.25">
      <c r="A10" t="s">
        <v>8</v>
      </c>
      <c r="B10">
        <v>2</v>
      </c>
      <c r="C10">
        <v>1</v>
      </c>
      <c r="D10">
        <v>2</v>
      </c>
      <c r="E10">
        <v>3</v>
      </c>
      <c r="F10">
        <v>3</v>
      </c>
      <c r="G10">
        <v>1</v>
      </c>
      <c r="H10">
        <v>3</v>
      </c>
      <c r="I10">
        <v>4</v>
      </c>
      <c r="J10">
        <v>2</v>
      </c>
      <c r="K10">
        <v>3</v>
      </c>
      <c r="L10">
        <v>5</v>
      </c>
      <c r="M10">
        <v>5</v>
      </c>
      <c r="N10">
        <v>10</v>
      </c>
      <c r="O10">
        <v>10</v>
      </c>
      <c r="P10">
        <v>7</v>
      </c>
      <c r="Q10">
        <v>10</v>
      </c>
      <c r="R10">
        <v>9</v>
      </c>
      <c r="T10" t="s">
        <v>14</v>
      </c>
      <c r="U10">
        <v>4.8</v>
      </c>
    </row>
    <row r="11" spans="1:23" x14ac:dyDescent="0.25">
      <c r="A11" t="s">
        <v>9</v>
      </c>
      <c r="B11">
        <v>3</v>
      </c>
      <c r="C11">
        <v>2</v>
      </c>
      <c r="D11">
        <v>3</v>
      </c>
      <c r="E11">
        <v>4</v>
      </c>
      <c r="F11">
        <v>5</v>
      </c>
      <c r="G11">
        <v>5</v>
      </c>
      <c r="H11">
        <v>5</v>
      </c>
      <c r="I11">
        <v>6</v>
      </c>
      <c r="J11">
        <v>5</v>
      </c>
      <c r="K11">
        <v>6</v>
      </c>
      <c r="L11">
        <v>7</v>
      </c>
      <c r="M11">
        <v>8</v>
      </c>
      <c r="N11">
        <v>9</v>
      </c>
      <c r="O11">
        <v>10</v>
      </c>
      <c r="P11">
        <v>9</v>
      </c>
      <c r="Q11">
        <v>10</v>
      </c>
      <c r="R11">
        <v>10</v>
      </c>
      <c r="T11" t="s">
        <v>24</v>
      </c>
      <c r="U11">
        <v>4</v>
      </c>
    </row>
    <row r="12" spans="1:23" x14ac:dyDescent="0.25">
      <c r="A12" t="s">
        <v>10</v>
      </c>
      <c r="B12">
        <v>2</v>
      </c>
      <c r="C12">
        <v>1</v>
      </c>
      <c r="D12">
        <v>2</v>
      </c>
      <c r="E12">
        <v>3</v>
      </c>
      <c r="F12">
        <v>3</v>
      </c>
      <c r="G12">
        <v>2</v>
      </c>
      <c r="H12">
        <v>3</v>
      </c>
      <c r="I12">
        <v>4</v>
      </c>
      <c r="J12">
        <v>3</v>
      </c>
      <c r="K12">
        <v>5</v>
      </c>
      <c r="L12">
        <v>5</v>
      </c>
      <c r="M12">
        <v>6</v>
      </c>
      <c r="N12">
        <v>8</v>
      </c>
      <c r="O12">
        <v>10</v>
      </c>
      <c r="P12">
        <v>9</v>
      </c>
      <c r="Q12">
        <v>0</v>
      </c>
      <c r="R12">
        <v>1</v>
      </c>
      <c r="T12" t="s">
        <v>27</v>
      </c>
      <c r="U12">
        <v>4</v>
      </c>
    </row>
    <row r="13" spans="1:23" x14ac:dyDescent="0.25">
      <c r="A13" t="s">
        <v>11</v>
      </c>
      <c r="B13">
        <v>1</v>
      </c>
      <c r="C13">
        <v>2</v>
      </c>
      <c r="D13">
        <v>3</v>
      </c>
      <c r="E13">
        <v>4</v>
      </c>
      <c r="F13">
        <v>4</v>
      </c>
      <c r="G13">
        <v>4</v>
      </c>
      <c r="H13">
        <v>4</v>
      </c>
      <c r="I13">
        <v>4</v>
      </c>
      <c r="J13">
        <v>5</v>
      </c>
      <c r="K13">
        <v>5</v>
      </c>
      <c r="L13">
        <v>6</v>
      </c>
      <c r="M13">
        <v>6</v>
      </c>
      <c r="N13">
        <v>10</v>
      </c>
      <c r="O13">
        <v>10</v>
      </c>
      <c r="P13">
        <v>9</v>
      </c>
      <c r="Q13">
        <v>10</v>
      </c>
      <c r="R13">
        <v>9</v>
      </c>
      <c r="T13" t="s">
        <v>25</v>
      </c>
      <c r="U13">
        <v>3.8</v>
      </c>
    </row>
    <row r="14" spans="1:23" x14ac:dyDescent="0.25">
      <c r="A14" s="4"/>
      <c r="B14" s="5" t="s">
        <v>13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5" t="s">
        <v>28</v>
      </c>
      <c r="K14" s="5" t="s">
        <v>14</v>
      </c>
      <c r="L14" s="5" t="s">
        <v>15</v>
      </c>
      <c r="M14" s="5" t="s">
        <v>16</v>
      </c>
      <c r="N14" s="5" t="s">
        <v>17</v>
      </c>
      <c r="O14" s="5" t="s">
        <v>19</v>
      </c>
      <c r="P14" s="5" t="s">
        <v>18</v>
      </c>
      <c r="Q14" s="5" t="s">
        <v>20</v>
      </c>
      <c r="R14" s="5" t="s">
        <v>29</v>
      </c>
      <c r="T14" t="s">
        <v>28</v>
      </c>
      <c r="U14">
        <v>3.6</v>
      </c>
    </row>
    <row r="15" spans="1:23" x14ac:dyDescent="0.25">
      <c r="A15" s="1" t="s">
        <v>30</v>
      </c>
      <c r="B15" s="2">
        <f>ROUND(AVERAGE(B2:B14),1)</f>
        <v>1.8</v>
      </c>
      <c r="C15" s="1">
        <f>ROUND(AVERAGE(C2:C14),1)</f>
        <v>2.2999999999999998</v>
      </c>
      <c r="D15" s="1">
        <f>ROUND(AVERAGE(D2:D14),1)</f>
        <v>2.8</v>
      </c>
      <c r="E15" s="1">
        <f>ROUND(AVERAGE(E2:E14),1)</f>
        <v>3.3</v>
      </c>
      <c r="F15" s="1">
        <f>ROUND(AVERAGE(F2:F14),1)</f>
        <v>4</v>
      </c>
      <c r="G15" s="1">
        <f>ROUND(AVERAGE(G2:G14),1)</f>
        <v>3.8</v>
      </c>
      <c r="H15" s="1">
        <f>ROUND(AVERAGE(H2:H14),1)</f>
        <v>3.3</v>
      </c>
      <c r="I15" s="1">
        <f>ROUND(AVERAGE(I2:I14),1)</f>
        <v>4</v>
      </c>
      <c r="J15" s="1">
        <f>ROUND(AVERAGE(J2:J14),1)</f>
        <v>3.6</v>
      </c>
      <c r="K15" s="1">
        <f>ROUND(AVERAGE(K2:K14),1)</f>
        <v>4.8</v>
      </c>
      <c r="L15" s="1">
        <f>ROUND(AVERAGE(L2:L14),1)</f>
        <v>5.8</v>
      </c>
      <c r="M15" s="1">
        <f>ROUND(AVERAGE(M2:M14),1)</f>
        <v>6.2</v>
      </c>
      <c r="N15" s="2">
        <f>ROUND(AVERAGE(N2:N14),1)</f>
        <v>9.5</v>
      </c>
      <c r="O15" s="2">
        <f>ROUND(AVERAGE(O2:O14),1)</f>
        <v>9.9</v>
      </c>
      <c r="P15" s="2">
        <f>ROUND(AVERAGE(P2:P14),1)</f>
        <v>8.8000000000000007</v>
      </c>
      <c r="Q15" s="2">
        <f>ROUND(AVERAGE(Q2:Q14),1)</f>
        <v>8.8000000000000007</v>
      </c>
      <c r="R15" s="2">
        <f>ROUND(AVERAGE(R2:R14),1)</f>
        <v>6.9</v>
      </c>
      <c r="T15" t="s">
        <v>23</v>
      </c>
      <c r="U15">
        <v>3.3</v>
      </c>
    </row>
    <row r="16" spans="1:23" x14ac:dyDescent="0.25">
      <c r="A16" s="3" t="s">
        <v>31</v>
      </c>
      <c r="B16" s="3">
        <f>MIN(anketa[strana_1])</f>
        <v>0</v>
      </c>
      <c r="C16" s="3">
        <f>MIN(anketa[strana_2])</f>
        <v>1</v>
      </c>
      <c r="D16" s="3">
        <f>MIN(anketa[strana_3])</f>
        <v>2</v>
      </c>
      <c r="E16" s="3">
        <f>MIN(anketa[strana_4])</f>
        <v>3</v>
      </c>
      <c r="F16" s="3">
        <f>MIN(anketa[strana_5])</f>
        <v>3</v>
      </c>
      <c r="G16" s="3">
        <f>MIN(anketa[strana_6])</f>
        <v>1</v>
      </c>
      <c r="H16" s="3">
        <f>MIN(anketa[strana_7])</f>
        <v>2</v>
      </c>
      <c r="I16" s="3">
        <f>MIN(anketa[strana_8])</f>
        <v>0</v>
      </c>
      <c r="J16" s="3">
        <f>MIN(anketa[strana_9])</f>
        <v>1</v>
      </c>
      <c r="K16" s="3">
        <f>MIN(anketa[strana_10])</f>
        <v>3</v>
      </c>
      <c r="L16" s="3">
        <f>MIN(anketa[strana_11])</f>
        <v>5</v>
      </c>
      <c r="M16" s="3">
        <f>MIN(anketa[strana_12])</f>
        <v>3</v>
      </c>
      <c r="N16" s="3">
        <f>MIN(anketa[strana_13])</f>
        <v>7</v>
      </c>
      <c r="O16" s="3">
        <f>MIN(anketa[strana_14])</f>
        <v>9</v>
      </c>
      <c r="P16" s="3">
        <f>MIN(anketa[strana_15])</f>
        <v>7</v>
      </c>
      <c r="Q16" s="3">
        <f>MIN(anketa[strana_16])</f>
        <v>0</v>
      </c>
      <c r="R16" s="3">
        <f>MIN(anketa[strana_17])</f>
        <v>1</v>
      </c>
      <c r="T16" t="s">
        <v>26</v>
      </c>
      <c r="U16">
        <v>3.3</v>
      </c>
    </row>
    <row r="17" spans="1:21" x14ac:dyDescent="0.25">
      <c r="A17" s="1" t="s">
        <v>32</v>
      </c>
      <c r="B17" s="1">
        <f>MAX(anketa[strana_1])</f>
        <v>3</v>
      </c>
      <c r="C17" s="1">
        <f>MAX(anketa[strana_2])</f>
        <v>9</v>
      </c>
      <c r="D17" s="1">
        <f>MAX(anketa[strana_3])</f>
        <v>6</v>
      </c>
      <c r="E17" s="1">
        <f>MAX(anketa[strana_4])</f>
        <v>4</v>
      </c>
      <c r="F17" s="1">
        <f>MAX(anketa[strana_5])</f>
        <v>8</v>
      </c>
      <c r="G17" s="1">
        <f>MAX(anketa[strana_6])</f>
        <v>10</v>
      </c>
      <c r="H17" s="1">
        <f>MAX(anketa[strana_7])</f>
        <v>5</v>
      </c>
      <c r="I17" s="1">
        <f>MAX(anketa[strana_8])</f>
        <v>6</v>
      </c>
      <c r="J17" s="1">
        <f>MAX(anketa[strana_9])</f>
        <v>5</v>
      </c>
      <c r="K17" s="1">
        <f>MAX(anketa[strana_10])</f>
        <v>6</v>
      </c>
      <c r="L17" s="1">
        <f>MAX(anketa[strana_11])</f>
        <v>7</v>
      </c>
      <c r="M17" s="1">
        <f>MAX(anketa[strana_12])</f>
        <v>8</v>
      </c>
      <c r="N17" s="1">
        <f>MAX(anketa[strana_13])</f>
        <v>10</v>
      </c>
      <c r="O17" s="1">
        <f>MAX(anketa[strana_14])</f>
        <v>10</v>
      </c>
      <c r="P17" s="1">
        <f>MAX(anketa[strana_15])</f>
        <v>10</v>
      </c>
      <c r="Q17" s="1">
        <f>MAX(anketa[strana_16])</f>
        <v>10</v>
      </c>
      <c r="R17" s="1">
        <f>MAX(anketa[strana_17])</f>
        <v>10</v>
      </c>
      <c r="T17" t="s">
        <v>22</v>
      </c>
      <c r="U17">
        <v>2.8</v>
      </c>
    </row>
    <row r="18" spans="1:21" x14ac:dyDescent="0.25">
      <c r="A18" s="3" t="s">
        <v>33</v>
      </c>
      <c r="B18" s="3">
        <f>MEDIAN(anketa[strana_1])</f>
        <v>2</v>
      </c>
      <c r="C18" s="3">
        <f>MEDIAN(anketa[strana_2])</f>
        <v>2</v>
      </c>
      <c r="D18" s="3">
        <f>MEDIAN(anketa[strana_3])</f>
        <v>3</v>
      </c>
      <c r="E18" s="3">
        <f>MEDIAN(anketa[strana_4])</f>
        <v>3</v>
      </c>
      <c r="F18" s="3">
        <f>MEDIAN(anketa[strana_5])</f>
        <v>4</v>
      </c>
      <c r="G18" s="3">
        <f>MEDIAN(anketa[strana_6])</f>
        <v>3</v>
      </c>
      <c r="H18" s="3">
        <f>MEDIAN(anketa[strana_7])</f>
        <v>3</v>
      </c>
      <c r="I18" s="3">
        <f>MEDIAN(anketa[strana_8])</f>
        <v>4</v>
      </c>
      <c r="J18" s="3">
        <f>MEDIAN(anketa[strana_9])</f>
        <v>4</v>
      </c>
      <c r="K18" s="3">
        <f>MEDIAN(anketa[strana_10])</f>
        <v>5</v>
      </c>
      <c r="L18" s="3">
        <f>MEDIAN(anketa[strana_11])</f>
        <v>6</v>
      </c>
      <c r="M18" s="3">
        <f>MEDIAN(anketa[strana_12])</f>
        <v>6</v>
      </c>
      <c r="N18" s="3">
        <f>MEDIAN(anketa[strana_13])</f>
        <v>10</v>
      </c>
      <c r="O18" s="3">
        <f>MEDIAN(anketa[strana_14])</f>
        <v>10</v>
      </c>
      <c r="P18" s="3">
        <f>MEDIAN(anketa[strana_15])</f>
        <v>9</v>
      </c>
      <c r="Q18" s="3">
        <f>MEDIAN(anketa[strana_16])</f>
        <v>10</v>
      </c>
      <c r="R18" s="3">
        <f>MEDIAN(anketa[strana_17])</f>
        <v>8</v>
      </c>
      <c r="T18" t="s">
        <v>21</v>
      </c>
      <c r="U18">
        <v>2.2999999999999998</v>
      </c>
    </row>
    <row r="19" spans="1:21" x14ac:dyDescent="0.25">
      <c r="A19" s="6"/>
      <c r="B19" s="7" t="s">
        <v>13</v>
      </c>
      <c r="C19" s="7" t="s">
        <v>21</v>
      </c>
      <c r="D19" s="7" t="s">
        <v>22</v>
      </c>
      <c r="E19" s="7" t="s">
        <v>23</v>
      </c>
      <c r="F19" s="7" t="s">
        <v>24</v>
      </c>
      <c r="G19" s="7" t="s">
        <v>25</v>
      </c>
      <c r="H19" s="7" t="s">
        <v>26</v>
      </c>
      <c r="I19" s="7" t="s">
        <v>27</v>
      </c>
      <c r="J19" s="7" t="s">
        <v>28</v>
      </c>
      <c r="K19" s="7" t="s">
        <v>14</v>
      </c>
      <c r="L19" s="7" t="s">
        <v>15</v>
      </c>
      <c r="M19" s="7" t="s">
        <v>16</v>
      </c>
      <c r="N19" s="7" t="s">
        <v>17</v>
      </c>
      <c r="O19" s="7" t="s">
        <v>19</v>
      </c>
      <c r="P19" s="7" t="s">
        <v>18</v>
      </c>
      <c r="Q19" s="7" t="s">
        <v>20</v>
      </c>
      <c r="R19" s="7" t="s">
        <v>29</v>
      </c>
    </row>
    <row r="20" spans="1:21" x14ac:dyDescent="0.25">
      <c r="A20" s="3" t="s">
        <v>55</v>
      </c>
      <c r="B20" s="1">
        <f>_xlfn.VAR.S(B2:B13)</f>
        <v>0.75</v>
      </c>
      <c r="C20" s="1">
        <f>_xlfn.VAR.S(C2:C13)</f>
        <v>4.6060606060606064</v>
      </c>
      <c r="D20" s="1">
        <f>_xlfn.VAR.S(D2:D13)</f>
        <v>1.2424242424242429</v>
      </c>
      <c r="E20" s="1">
        <f>_xlfn.VAR.S(E2:E13)</f>
        <v>0.20454545454545456</v>
      </c>
      <c r="F20" s="1">
        <f>_xlfn.VAR.S(F2:F13)</f>
        <v>2</v>
      </c>
      <c r="G20" s="1">
        <f>_xlfn.VAR.S(G2:G13)</f>
        <v>5.0606060606060597</v>
      </c>
      <c r="H20" s="1">
        <f>_xlfn.VAR.S(H2:H13)</f>
        <v>0.75</v>
      </c>
      <c r="I20" s="1">
        <f>_xlfn.VAR.S(I2:I13)</f>
        <v>2</v>
      </c>
      <c r="J20" s="1">
        <f>_xlfn.VAR.S(J2:J13)</f>
        <v>1.9015151515151507</v>
      </c>
      <c r="K20" s="1">
        <f>_xlfn.VAR.S(K2:K13)</f>
        <v>0.75</v>
      </c>
      <c r="L20" s="1">
        <f>_xlfn.VAR.S(L2:L13)</f>
        <v>0.38636363636363635</v>
      </c>
      <c r="M20" s="1">
        <f>_xlfn.VAR.S(M2:M13)</f>
        <v>1.6060606060606077</v>
      </c>
      <c r="N20" s="1">
        <f>_xlfn.VAR.S(N2:N13)</f>
        <v>1</v>
      </c>
      <c r="O20" s="1">
        <f>_xlfn.VAR.S(O2:O3)</f>
        <v>0</v>
      </c>
      <c r="P20" s="1">
        <f>_xlfn.VAR.S(P2:P13)</f>
        <v>0.93181818181818177</v>
      </c>
      <c r="Q20" s="1">
        <f>_xlfn.VAR.S(Q2:Q13)</f>
        <v>9.6590909090909083</v>
      </c>
      <c r="R20" s="1">
        <f>_xlfn.VAR.S(R2:R13)</f>
        <v>9.356060606060602</v>
      </c>
    </row>
    <row r="43" spans="2:18" x14ac:dyDescent="0.25"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48</v>
      </c>
      <c r="M43" t="s">
        <v>49</v>
      </c>
      <c r="N43" t="s">
        <v>50</v>
      </c>
      <c r="O43" t="s">
        <v>51</v>
      </c>
      <c r="P43" t="s">
        <v>52</v>
      </c>
      <c r="Q43" t="s">
        <v>53</v>
      </c>
      <c r="R43" t="s">
        <v>54</v>
      </c>
    </row>
    <row r="44" spans="2:18" x14ac:dyDescent="0.25">
      <c r="B44">
        <f>_xlfn.VAR.S(B2:B14)</f>
        <v>0.75</v>
      </c>
      <c r="C44">
        <f>_xlfn.VAR.S(C2:C14)</f>
        <v>4.6060606060606064</v>
      </c>
      <c r="D44">
        <f>_xlfn.VAR.S(D2:D14)</f>
        <v>1.2424242424242429</v>
      </c>
      <c r="E44">
        <f>_xlfn.VAR.S(E2:E14)</f>
        <v>0.20454545454545456</v>
      </c>
      <c r="F44">
        <f>_xlfn.VAR.S(F2:F14)</f>
        <v>2</v>
      </c>
      <c r="G44">
        <f>_xlfn.VAR.S(G2:G14)</f>
        <v>5.0606060606060597</v>
      </c>
      <c r="H44">
        <f>_xlfn.VAR.S(H2:H14)</f>
        <v>0.75</v>
      </c>
      <c r="I44">
        <f>_xlfn.VAR.S(I2:I14)</f>
        <v>2</v>
      </c>
      <c r="J44">
        <f>_xlfn.VAR.S(J2:J14)</f>
        <v>1.9015151515151507</v>
      </c>
      <c r="K44">
        <f>_xlfn.VAR.S(K2:K14)</f>
        <v>0.75</v>
      </c>
      <c r="L44">
        <f>_xlfn.VAR.S(L2:L14)</f>
        <v>0.38636363636363635</v>
      </c>
      <c r="M44">
        <f>_xlfn.VAR.S(M2:M14)</f>
        <v>1.6060606060606077</v>
      </c>
      <c r="N44">
        <f>_xlfn.VAR.S(N2:N14)</f>
        <v>1</v>
      </c>
      <c r="O44">
        <f>_xlfn.VAR.S(O2:O14)</f>
        <v>8.3333333333333315E-2</v>
      </c>
      <c r="P44">
        <f>_xlfn.VAR.S(P2:P14)</f>
        <v>0.93181818181818177</v>
      </c>
      <c r="Q44">
        <f>_xlfn.VAR.S(Q2:Q14)</f>
        <v>9.6590909090909083</v>
      </c>
      <c r="R44">
        <f>_xlfn.VAR.S(R2:R14)</f>
        <v>9.356060606060602</v>
      </c>
    </row>
    <row r="46" spans="2:18" x14ac:dyDescent="0.25">
      <c r="I46">
        <f>_xlfn.VAR.S(B44:R44)</f>
        <v>8.8725030215254073</v>
      </c>
    </row>
    <row r="1048576" spans="20:20" x14ac:dyDescent="0.25">
      <c r="T1048576" t="s">
        <v>36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1FBF68-555C-4C39-82DF-811274EC37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. .</cp:lastModifiedBy>
  <dcterms:created xsi:type="dcterms:W3CDTF">2015-06-05T18:17:20Z</dcterms:created>
  <dcterms:modified xsi:type="dcterms:W3CDTF">2025-10-29T04:18:13Z</dcterms:modified>
</cp:coreProperties>
</file>